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F58471B8-F67B-4C0A-8F34-55DC47706505}"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<sst xmlns="http://schemas.openxmlformats.org/spreadsheetml/2006/main" count="156" uniqueCount="99">
  <si>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</si>
  <si>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</si>
  <si>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</si>
  <si>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</si>
  <si>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</si>
  <si>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</si>
  <si>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</si>
  <si>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</si>
  <si>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</si>
  <si>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</si>
  <si>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</si>
  <si>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</si>
  <si>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</si>
  <si>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</si>
  <si>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</si>
  <si>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</si>
  <si>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</si>
  <si>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</si>
  <si>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</si>
  <si>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</si>
  <si>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</si>
  <si>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</si>
  <si>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</si>
  <si>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</si>
  <si>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</si>
  <si>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</si>
  <si>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</si>
  <si>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</si>
  <si>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</si>
  <si>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</si>
  <si>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</si>
  <si>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</si>
  <si>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</si>
  <si>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</si>
  <si>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</si>
  <si>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</si>
  <si>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</si>
  <si>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</si>
  <si>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</si>
  <si>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</si>
  <si>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</si>
  <si>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</si>
  <si>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</si>
  <si>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</si>
  <si>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</si>
  <si>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</si>
  <si>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</si>
  <si>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</si>
  <si>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</si>
  <si>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</si>
  <si>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</si>
  <si>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</si>
  <si>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</si>
  <si>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</si>
  <si>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</si>
  <si>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</si>
  <si>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</si>
  <si>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</si>
  <si>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</si>
  <si>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</si>
  <si>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</si>
  <si>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</si>
  <si>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</si>
  <si>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</si>
  <si>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</si>
  <si>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</si>
  <si>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</si>
  <si>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</si>
  <si>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</si>
  <si>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</si>
  <si>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</si>
  <si>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</si>
  <si>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</si>
  <si>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</si>
  <si>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</si>
  <si>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</si>
  <si>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</si>
  <si>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</si>
  <si>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</si>
  <si>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</si>
  <si>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</si>
  <si>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</si>
  <si>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</si>
  <si>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</si>
  <si>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</si>
  <si>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</si>
  <si>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</si>
  <si>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</si>
  <si>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</si>
  <si>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</si>
  <si>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</si>
  <si>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</si>
  <si>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</si>
  <si>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</si>
  <si>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</si>
  <si>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</si>
  <si>
    <t>LÊ VĂN HÙNG</t>
  </si>
  <si>
    <t>CNTT &amp; Ứng dụng</t>
  </si>
  <si>
    <t>https://dnqt.vn/assets/team/Hung.jpeg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</si>
</sst>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6">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vmlDrawing" Target="../drawings/vmlDrawing1.vm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printerSettings" Target="../printerSettings/printerSettings1.bin"/><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Hung.jpeg" TargetMode="Externa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35" Type="http://schemas.openxmlformats.org/officeDocument/2006/relationships/comments" Target="../comments1.xm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G41" sqref="G41"/>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89</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84</v>
      </c>
      <c r="C11" s="3" t="s">
        <v>85</v>
      </c>
      <c r="D11" s="3" t="s">
        <v>74</v>
      </c>
      <c r="E11" s="3" t="s">
        <v>86</v>
      </c>
      <c r="F11" s="5"/>
      <c r="G11" s="20" t="s">
        <v>66</v>
      </c>
      <c r="H11" s="22" t="s">
        <v>67</v>
      </c>
      <c r="I11" s="3"/>
    </row>
    <row r="12" spans="1:9" x14ac:dyDescent="0.25">
      <c r="A12" s="16">
        <f>IF(ISBLANK(B12), "", ROW()-10)</f>
        <v>2</v>
      </c>
      <c r="B12" s="23" t="s">
        <v>20</v>
      </c>
      <c r="C12" s="3" t="s">
        <v>83</v>
      </c>
      <c r="D12" s="3" t="s">
        <v>74</v>
      </c>
      <c r="E12" s="3" t="s">
        <v>88</v>
      </c>
      <c r="F12" s="5">
        <v>1</v>
      </c>
      <c r="G12" s="20" t="s">
        <v>46</v>
      </c>
      <c r="H12" s="22" t="s">
        <v>58</v>
      </c>
      <c r="I12" s="3"/>
    </row>
    <row r="13" spans="1:9" x14ac:dyDescent="0.25">
      <c r="A13" s="16">
        <f>IF(ISBLANK(B13), "", ROW()-10)</f>
        <v>3</v>
      </c>
      <c r="B13" s="23" t="s">
        <v>18</v>
      </c>
      <c r="C13" s="3" t="s">
        <v>19</v>
      </c>
      <c r="D13" s="3" t="s">
        <v>74</v>
      </c>
      <c r="E13" s="3" t="s">
        <v>88</v>
      </c>
      <c r="F13" s="5">
        <v>1</v>
      </c>
      <c r="G13" s="20" t="s">
        <v>45</v>
      </c>
      <c r="H13" s="22" t="s">
        <v>57</v>
      </c>
      <c r="I13" s="3"/>
    </row>
    <row r="14" spans="1:9" x14ac:dyDescent="0.25">
      <c r="A14" s="16">
        <f t="shared" ref="A14:A71" si="0">IF(ISBLANK(B14), "", ROW()-10)</f>
        <v>4</v>
      </c>
      <c r="B14" s="23" t="s">
        <v>22</v>
      </c>
      <c r="C14" s="3" t="s">
        <v>21</v>
      </c>
      <c r="D14" s="3" t="s">
        <v>74</v>
      </c>
      <c r="E14" s="3" t="s">
        <v>87</v>
      </c>
      <c r="F14" s="5">
        <v>3</v>
      </c>
      <c r="G14" s="20" t="s">
        <v>47</v>
      </c>
      <c r="H14" s="2"/>
      <c r="I14" s="3"/>
    </row>
    <row r="15" spans="1:9" x14ac:dyDescent="0.25">
      <c r="A15" s="16">
        <f t="shared" si="0"/>
        <v>5</v>
      </c>
      <c r="B15" s="23" t="s">
        <v>23</v>
      </c>
      <c r="C15" s="3" t="s">
        <v>21</v>
      </c>
      <c r="D15" s="3" t="s">
        <v>74</v>
      </c>
      <c r="E15" s="3" t="s">
        <v>76</v>
      </c>
      <c r="F15" s="5">
        <v>3</v>
      </c>
      <c r="G15" s="20" t="s">
        <v>52</v>
      </c>
      <c r="H15" s="22" t="s">
        <v>59</v>
      </c>
      <c r="I15" s="3"/>
    </row>
    <row r="16" spans="1:9" x14ac:dyDescent="0.25">
      <c r="A16" s="16">
        <f t="shared" si="0"/>
        <v>6</v>
      </c>
      <c r="B16" s="23" t="s">
        <v>24</v>
      </c>
      <c r="C16" s="3" t="s">
        <v>21</v>
      </c>
      <c r="D16" s="3" t="s">
        <v>74</v>
      </c>
      <c r="E16" s="3" t="s">
        <v>75</v>
      </c>
      <c r="F16" s="5">
        <v>3</v>
      </c>
      <c r="G16" s="21" t="s">
        <v>44</v>
      </c>
      <c r="H16" s="22" t="s">
        <v>60</v>
      </c>
      <c r="I16" s="3"/>
    </row>
    <row r="17" spans="1:9" x14ac:dyDescent="0.25">
      <c r="A17" s="16">
        <f>IF(ISBLANK(B17), "", ROW()-10)</f>
        <v>7</v>
      </c>
      <c r="B17" s="23" t="s">
        <v>41</v>
      </c>
      <c r="C17" s="3" t="s">
        <v>28</v>
      </c>
      <c r="D17" s="3" t="s">
        <v>74</v>
      </c>
      <c r="E17" s="3" t="s">
        <v>63</v>
      </c>
      <c r="F17" s="5">
        <v>6</v>
      </c>
      <c r="G17" s="20" t="s">
        <v>54</v>
      </c>
      <c r="H17" s="2"/>
      <c r="I17" s="3"/>
    </row>
    <row r="18" spans="1:9" x14ac:dyDescent="0.25">
      <c r="A18" s="16">
        <f>IF(ISBLANK(B18), "", ROW()-10)</f>
        <v>8</v>
      </c>
      <c r="B18" s="23" t="s">
        <v>31</v>
      </c>
      <c r="C18" s="3" t="s">
        <v>28</v>
      </c>
      <c r="D18" s="3" t="s">
        <v>74</v>
      </c>
      <c r="E18" s="3" t="s">
        <v>36</v>
      </c>
      <c r="F18" s="5">
        <v>5</v>
      </c>
      <c r="G18" s="20" t="s">
        <v>50</v>
      </c>
      <c r="H18" s="2"/>
      <c r="I18" s="3"/>
    </row>
    <row r="19" spans="1:9" x14ac:dyDescent="0.25">
      <c r="A19" s="16">
        <f>IF(ISBLANK(B19), "", ROW()-10)</f>
        <v>9</v>
      </c>
      <c r="B19" s="23" t="s">
        <v>30</v>
      </c>
      <c r="C19" s="2" t="s">
        <v>79</v>
      </c>
      <c r="D19" s="3" t="s">
        <v>74</v>
      </c>
      <c r="E19" s="3" t="s">
        <v>78</v>
      </c>
      <c r="F19" s="5">
        <v>6</v>
      </c>
      <c r="G19" s="20" t="s">
        <v>49</v>
      </c>
      <c r="H19" s="2"/>
      <c r="I19" s="3"/>
    </row>
    <row r="20" spans="1:9" x14ac:dyDescent="0.25">
      <c r="A20" s="16">
        <f>IF(ISBLANK(B20), "", ROW()-10)</f>
        <v>10</v>
      </c>
      <c r="B20" s="23" t="s">
        <v>25</v>
      </c>
      <c r="C20" s="3" t="s">
        <v>26</v>
      </c>
      <c r="D20" s="3" t="s">
        <v>74</v>
      </c>
      <c r="E20" s="3" t="s">
        <v>77</v>
      </c>
      <c r="F20" s="5">
        <v>3</v>
      </c>
      <c r="G20" s="20" t="s">
        <v>43</v>
      </c>
      <c r="H20" s="2"/>
      <c r="I20" s="3"/>
    </row>
    <row r="21" spans="1:9" x14ac:dyDescent="0.25">
      <c r="A21" s="16">
        <f t="shared" si="0"/>
        <v>11</v>
      </c>
      <c r="B21" s="23" t="s">
        <v>27</v>
      </c>
      <c r="C21" s="3" t="s">
        <v>90</v>
      </c>
      <c r="D21" s="3" t="s">
        <v>74</v>
      </c>
      <c r="E21" s="3" t="s">
        <v>34</v>
      </c>
      <c r="F21" s="5">
        <v>4</v>
      </c>
      <c r="G21" s="20" t="s">
        <v>48</v>
      </c>
      <c r="H21" s="2"/>
      <c r="I21" s="3"/>
    </row>
    <row r="22" spans="1:9" x14ac:dyDescent="0.25">
      <c r="A22" s="16">
        <f>IF(ISBLANK(B22), "", ROW()-10)</f>
        <v>12</v>
      </c>
      <c r="B22" s="23" t="s">
        <v>25</v>
      </c>
      <c r="C22" s="2" t="s">
        <v>29</v>
      </c>
      <c r="D22" s="3" t="s">
        <v>74</v>
      </c>
      <c r="E22" s="3" t="s">
        <v>34</v>
      </c>
      <c r="F22" s="5">
        <v>4</v>
      </c>
      <c r="G22" s="20" t="s">
        <v>43</v>
      </c>
      <c r="H22" s="2"/>
      <c r="I22" s="3"/>
    </row>
    <row r="23" spans="1:9" x14ac:dyDescent="0.25">
      <c r="A23" s="16">
        <f>IF(ISBLANK(B23), "", ROW()-10)</f>
        <v>13</v>
      </c>
      <c r="B23" s="23" t="s">
        <v>33</v>
      </c>
      <c r="C23" s="2" t="s">
        <v>35</v>
      </c>
      <c r="D23" s="3" t="s">
        <v>74</v>
      </c>
      <c r="E23" s="3" t="s">
        <v>34</v>
      </c>
      <c r="F23" s="5">
        <v>4</v>
      </c>
      <c r="G23" s="20" t="s">
        <v>51</v>
      </c>
      <c r="H23" s="22" t="s">
        <v>55</v>
      </c>
      <c r="I23" s="3"/>
    </row>
    <row r="24" spans="1:9" x14ac:dyDescent="0.25">
      <c r="A24" s="16">
        <f t="shared" si="0"/>
        <v>14</v>
      </c>
      <c r="B24" s="23" t="s">
        <v>31</v>
      </c>
      <c r="C24" s="3" t="s">
        <v>32</v>
      </c>
      <c r="D24" s="3" t="s">
        <v>74</v>
      </c>
      <c r="E24" s="3" t="s">
        <v>78</v>
      </c>
      <c r="F24" s="5">
        <v>9</v>
      </c>
      <c r="G24" s="20" t="s">
        <v>50</v>
      </c>
      <c r="H24" s="2"/>
      <c r="I24" s="3"/>
    </row>
    <row r="25" spans="1:9" x14ac:dyDescent="0.25">
      <c r="A25" s="16">
        <f t="shared" si="0"/>
        <v>15</v>
      </c>
      <c r="B25" s="23" t="s">
        <v>27</v>
      </c>
      <c r="C25" s="3" t="s">
        <v>37</v>
      </c>
      <c r="D25" s="3" t="s">
        <v>74</v>
      </c>
      <c r="E25" s="3" t="s">
        <v>36</v>
      </c>
      <c r="F25" s="5">
        <v>8</v>
      </c>
      <c r="G25" s="20" t="s">
        <v>48</v>
      </c>
      <c r="H25" s="2"/>
      <c r="I25" s="3"/>
    </row>
    <row r="26" spans="1:9" x14ac:dyDescent="0.25">
      <c r="A26" s="16">
        <f t="shared" si="0"/>
        <v>16</v>
      </c>
      <c r="B26" s="23" t="s">
        <v>25</v>
      </c>
      <c r="C26" s="2" t="s">
        <v>38</v>
      </c>
      <c r="D26" s="3" t="s">
        <v>74</v>
      </c>
      <c r="E26" s="3" t="s">
        <v>36</v>
      </c>
      <c r="F26" s="5">
        <v>8</v>
      </c>
      <c r="G26" s="20" t="s">
        <v>43</v>
      </c>
      <c r="H26" s="2"/>
      <c r="I26" s="3"/>
    </row>
    <row r="27" spans="1:9" x14ac:dyDescent="0.25">
      <c r="A27" s="16">
        <f t="shared" si="0"/>
        <v>17</v>
      </c>
      <c r="B27" s="23" t="s">
        <v>22</v>
      </c>
      <c r="C27" s="3" t="s">
        <v>39</v>
      </c>
      <c r="D27" s="3" t="s">
        <v>74</v>
      </c>
      <c r="E27" s="3" t="s">
        <v>36</v>
      </c>
      <c r="F27" s="5">
        <v>8</v>
      </c>
      <c r="G27" s="20" t="s">
        <v>47</v>
      </c>
      <c r="H27" s="2"/>
      <c r="I27" s="3"/>
    </row>
    <row r="28" spans="1:9" x14ac:dyDescent="0.25">
      <c r="A28" s="16">
        <f t="shared" si="0"/>
        <v>18</v>
      </c>
      <c r="B28" s="23" t="s">
        <v>40</v>
      </c>
      <c r="C28" s="3" t="s">
        <v>42</v>
      </c>
      <c r="D28" s="3" t="s">
        <v>74</v>
      </c>
      <c r="E28" s="3" t="s">
        <v>63</v>
      </c>
      <c r="F28" s="5">
        <v>7</v>
      </c>
      <c r="G28" s="20" t="s">
        <v>53</v>
      </c>
      <c r="H28" s="22"/>
      <c r="I28" s="3"/>
    </row>
    <row r="29" spans="1:9" x14ac:dyDescent="0.25">
      <c r="A29" s="16">
        <f t="shared" ref="A29" si="1">IF(ISBLANK(B29), "", ROW()-10)</f>
        <v>19</v>
      </c>
      <c r="B29" s="23" t="s">
        <v>33</v>
      </c>
      <c r="C29" s="3" t="s">
        <v>92</v>
      </c>
      <c r="D29" s="3" t="s">
        <v>74</v>
      </c>
      <c r="E29" s="3" t="s">
        <v>63</v>
      </c>
      <c r="F29" s="5">
        <v>7</v>
      </c>
      <c r="G29" s="20" t="s">
        <v>51</v>
      </c>
      <c r="H29" s="22" t="s">
        <v>56</v>
      </c>
      <c r="I29" s="3"/>
    </row>
    <row r="30" spans="1:9" x14ac:dyDescent="0.25">
      <c r="A30" s="16">
        <f t="shared" si="0"/>
        <v>20</v>
      </c>
      <c r="B30" s="23" t="s">
        <v>65</v>
      </c>
      <c r="C30" s="3" t="s">
        <v>80</v>
      </c>
      <c r="D30" s="3" t="s">
        <v>74</v>
      </c>
      <c r="E30" s="3" t="s">
        <v>63</v>
      </c>
      <c r="F30" s="5">
        <v>7</v>
      </c>
      <c r="G30" s="20" t="s">
        <v>71</v>
      </c>
      <c r="H30" s="2"/>
      <c r="I30" s="2"/>
    </row>
    <row r="31" spans="1:9" x14ac:dyDescent="0.25">
      <c r="A31" s="16">
        <f t="shared" si="0"/>
        <v>21</v>
      </c>
      <c r="B31" s="23" t="s">
        <v>68</v>
      </c>
      <c r="C31" s="3" t="s">
        <v>82</v>
      </c>
      <c r="D31" s="3" t="s">
        <v>74</v>
      </c>
      <c r="E31" s="3" t="s">
        <v>81</v>
      </c>
      <c r="F31" s="5">
        <v>10</v>
      </c>
      <c r="G31" s="20" t="s">
        <v>95</v>
      </c>
      <c r="H31" s="2"/>
      <c r="I31" s="2"/>
    </row>
    <row r="32" spans="1:9" x14ac:dyDescent="0.25">
      <c r="A32" s="16">
        <f t="shared" si="0"/>
        <v>22</v>
      </c>
      <c r="B32" s="23" t="s">
        <v>70</v>
      </c>
      <c r="C32" s="3" t="s">
        <v>82</v>
      </c>
      <c r="D32" s="3" t="s">
        <v>74</v>
      </c>
      <c r="E32" s="3" t="s">
        <v>81</v>
      </c>
      <c r="F32" s="5">
        <v>10</v>
      </c>
      <c r="G32" s="20" t="s">
        <v>72</v>
      </c>
      <c r="H32" s="2"/>
      <c r="I32" s="2"/>
    </row>
    <row r="33" spans="1:9" x14ac:dyDescent="0.25">
      <c r="A33" s="16">
        <f t="shared" si="0"/>
        <v>23</v>
      </c>
      <c r="B33" s="23" t="s">
        <v>69</v>
      </c>
      <c r="C33" s="3" t="s">
        <v>64</v>
      </c>
      <c r="D33" s="3" t="s">
        <v>74</v>
      </c>
      <c r="E33" s="3" t="s">
        <v>81</v>
      </c>
      <c r="F33" s="5">
        <v>10</v>
      </c>
      <c r="G33" s="20" t="s">
        <v>73</v>
      </c>
      <c r="H33" s="2"/>
      <c r="I33" s="2"/>
    </row>
    <row r="34" spans="1:9" x14ac:dyDescent="0.25">
      <c r="A34" s="16">
        <f t="shared" si="0"/>
        <v>24</v>
      </c>
      <c r="B34" s="23" t="s">
        <v>91</v>
      </c>
      <c r="C34" s="3" t="s">
        <v>82</v>
      </c>
      <c r="D34" s="3" t="s">
        <v>74</v>
      </c>
      <c r="E34" s="3" t="s">
        <v>81</v>
      </c>
      <c r="F34" s="5">
        <v>10</v>
      </c>
      <c r="G34" s="20"/>
      <c r="H34" s="2"/>
      <c r="I34" s="2"/>
    </row>
    <row r="35" spans="1:9" x14ac:dyDescent="0.25">
      <c r="A35" s="16">
        <f t="shared" si="0"/>
        <v>25</v>
      </c>
      <c r="B35" s="23" t="s">
        <v>93</v>
      </c>
      <c r="C35" s="3" t="s">
        <v>94</v>
      </c>
      <c r="D35" s="3" t="s">
        <v>74</v>
      </c>
      <c r="E35" s="3" t="s">
        <v>34</v>
      </c>
      <c r="F35" s="5">
        <v>4</v>
      </c>
      <c r="G35" s="20"/>
      <c r="H35" s="2"/>
      <c r="I35" s="2"/>
    </row>
    <row r="36" spans="1:9" x14ac:dyDescent="0.25">
      <c r="A36" s="16">
        <f t="shared" si="0"/>
        <v>26</v>
      </c>
      <c r="B36" s="3" t="s">
        <v>96</v>
      </c>
      <c r="C36" s="3" t="s">
        <v>97</v>
      </c>
      <c r="D36" s="3" t="s">
        <v>74</v>
      </c>
      <c r="E36" s="3" t="s">
        <v>63</v>
      </c>
      <c r="F36" s="5">
        <v>19</v>
      </c>
      <c r="G36" s="20" t="s">
        <v>98</v>
      </c>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2"/>
      <c r="F39" s="5"/>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37:F200">
    <cfRule type="expression" dxfId="5" priority="18">
      <formula>AND($A11&lt;&gt;"", $F11="")</formula>
    </cfRule>
  </conditionalFormatting>
  <conditionalFormatting sqref="A29">
    <cfRule type="uniqueValues" dxfId="4" priority="24"/>
  </conditionalFormatting>
  <conditionalFormatting sqref="A30:A200 A11:A28">
    <cfRule type="uniqueValues" dxfId="3" priority="31"/>
  </conditionalFormatting>
  <conditionalFormatting sqref="F34">
    <cfRule type="expression" dxfId="2" priority="4">
      <formula>AND($A34&lt;&gt;"", $F34="")</formula>
    </cfRule>
  </conditionalFormatting>
  <conditionalFormatting sqref="F35">
    <cfRule type="expression" dxfId="1" priority="2">
      <formula>AND($A35&lt;&gt;"", $F35="")</formula>
    </cfRule>
  </conditionalFormatting>
  <conditionalFormatting sqref="F36">
    <cfRule type="expression" dxfId="0" priority="1">
      <formula>AND($A36&lt;&gt;"", $F36="")</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 ref="G36" r:id="rId32" xr:uid="{5207C1D7-1A32-4473-A973-DCD85795B5D2}"/>
  </hyperlinks>
  <pageMargins left="0.7" right="0.7" top="0.75" bottom="0.75" header="0.3" footer="0.3"/>
  <pageSetup orientation="portrait" r:id="rId33"/>
  <legacyDrawing r:id="rId3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2025-07-24T13:14:59Z</dcterms:modified>
</cp:coreProperties>
</file>