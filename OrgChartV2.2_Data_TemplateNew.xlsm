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
    </mc:Choice>
  </mc:AlternateContent>
  <xr:revisionPtr revIDLastSave="0" documentId="13_ncr:1_{99CDE998-AEFE-41F1-A30E-9E7AB7706D16}"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0" i="1" l="1"/>
  <c r="A31" i="1"/>
  <c r="A32" i="1"/>
  <c r="A11" i="1"/>
  <c r="A29" i="1"/>
  <c r="A37" i="1"/>
  <c r="A36"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39" i="1"/>
  <c r="A38" i="1"/>
  <c r="A35" i="1"/>
  <c r="A34" i="1"/>
  <c r="A33" i="1"/>
  <c r="A30" i="1"/>
  <c r="A28" i="1"/>
  <c r="A17" i="1"/>
  <c r="A27" i="1"/>
  <c r="A26" i="1"/>
  <c r="A25" i="1"/>
  <c r="A18" i="1"/>
  <c r="A23" i="1"/>
  <c r="A24" i="1"/>
  <c r="A19" i="1"/>
  <c r="A22" i="1"/>
  <c r="A21" i="1"/>
  <c r="A20"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<sst xmlns="http://schemas.openxmlformats.org/spreadsheetml/2006/main" count="174" uniqueCount="106">
  <si>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</si>
  <si>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</si>
  <si>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</si>
  <si>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</si>
  <si>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</si>
  <si>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</si>
  <si>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</si>
  <si>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</si>
  <si>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</si>
  <si>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</si>
  <si>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</si>
  <si>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</si>
  <si>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</si>
  <si>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</si>
  <si>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</si>
  <si>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</si>
  <si>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</si>
  <si>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</si>
  <si>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</si>
  <si>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</si>
  <si>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</si>
  <si>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</si>
  <si>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</si>
  <si>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</si>
  <si>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</si>
  <si>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</si>
  <si>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</si>
  <si>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</si>
  <si>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</si>
  <si>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</si>
  <si>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</si>
  <si>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</si>
  <si>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</si>
  <si>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</si>
  <si>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</si>
  <si>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</si>
  <si>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</si>
  <si>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</si>
  <si>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Tư vấn Pháp lý DN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</si>
  <si>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</si>
  <si>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</si>
  <si>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</si>
  <si>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</si>
  <si>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</si>
  <si>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</si>
  <si>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</si>
  <si>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</si>
  <si>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</si>
  <si>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</si>
  <si>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</si>
  <si>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</si>
  <si>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</si>
  <si>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</si>
  <si>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</si>
  <si>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</si>
  <si>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</si>
  <si>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</si>
  <si>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</si>
  <si>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</si>
  <si>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</si>
  <si>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</si>
  <si>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</si>
  <si>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</si>
  <si>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</si>
  <si>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</si>
  <si>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</si>
  <si>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</si>
  <si>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</si>
  <si>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</si>
  <si>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</si>
  <si>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</si>
  <si>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</si>
  <si>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https://dnqt.vn/assets/team/Tri.jpeg</t>
  </si>
  <si>
    <t>CLB DNQTMN</t>
  </si>
  <si>
    <t>ĐỐI NGOẠI</t>
  </si>
  <si>
    <t>ĐỐI NỘI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</si>
  <si>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</si>
  <si>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</si>
  <si>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</si>
  <si>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</si>
  <si>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</si>
  <si>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</si>
  <si>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</si>
  <si>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</si>
  <si>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</si>
  <si>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</si>
  <si>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KẾT NỐI GIAO THƯƠNG</t>
  </si>
  <si>
    <t>Câu lạc bộ</t>
  </si>
  <si>
    <t>https://wallpapersafari.com/download/x58BEZ/</t>
  </si>
  <si>
    <t>Tài chính &amp; Ký kết HĐ</t>
  </si>
  <si>
    <t>THÀNH VIÊN</t>
  </si>
  <si>
    <t>Công nghệ &amp; TMĐT</t>
  </si>
  <si>
    <t>THÀNH VIÊN MỚI</t>
  </si>
  <si>
    <t>Hỗ trợ doanh nghiệp</t>
  </si>
  <si>
    <t>https://dnqt.vn/assets/team/Nhan2.jpg</t>
  </si>
  <si>
    <t>LÊ VĂN HÙNG</t>
  </si>
  <si>
    <t>CNTT &amp; Ứng dụng</t>
  </si>
  <si>
    <t>https://dnqt.vn/assets/team/Hung.jpeg</t>
  </si>
  <si>
    <t>Tổ Triathlon</t>
  </si>
  <si>
    <t>Chăm sóc &amp; Hỗ trợ</t>
  </si>
  <si>
    <t>TRẦN MẠNH CHÍ</t>
  </si>
  <si>
    <t>TRẦN THẾ LINH</t>
  </si>
  <si>
    <t>Ban cố vấn</t>
  </si>
  <si>
    <t>https://dnqt.vn/assets/team/Linh.jpeg</t>
  </si>
  <si>
    <t>https://dnqt.vn/assets/team/Chi.jpg</t>
  </si>
  <si>
    <t>https://dnqt.vn/assets/team/Sang.png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</si>
</sst>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11">
    <dxf>
      <font>
        <color auto="1"/>
      </font>
      <fill>
        <patternFill patternType="none">
          <fgColor auto="1"/>
          <bgColor auto="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3" Type="http://schemas.openxmlformats.org/officeDocument/2006/relationships/hyperlink" Target="https://dnqt.vn/assets/team/Ky.jpg" TargetMode="External"/><Relationship Id="rId21" Type="http://schemas.openxmlformats.org/officeDocument/2006/relationships/hyperlink" Target="https://www.minhglobal.com/" TargetMode="External"/><Relationship Id="rId34" Type="http://schemas.openxmlformats.org/officeDocument/2006/relationships/printerSettings" Target="../printerSettings/printerSettings1.bin"/><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hyperlink" Target="https://dnqt.vn/assets/team/Phu.jpeg" TargetMode="External"/><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wallpapersafari.com/download/x58BEZ/"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hyperlink" Target="https://dnqt.vn/assets/team/Chi.jpg" TargetMode="External"/><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Tri.jpeg" TargetMode="External"/><Relationship Id="rId36" Type="http://schemas.openxmlformats.org/officeDocument/2006/relationships/comments" Target="../comments1.xm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dnqt.vn/assets/team/Linh.jpeg"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Nhan2.jpg" TargetMode="External"/><Relationship Id="rId30" Type="http://schemas.openxmlformats.org/officeDocument/2006/relationships/hyperlink" Target="https://dnqt.vn/assets/team/Hung.jpeg" TargetMode="External"/><Relationship Id="rId35" Type="http://schemas.openxmlformats.org/officeDocument/2006/relationships/vmlDrawing" Target="../drawings/vmlDrawing1.vml"/><Relationship Id="rId8" Type="http://schemas.openxmlformats.org/officeDocument/2006/relationships/hyperlink" Target="https://dnqt.vn/assets/team/PhungLe.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G32" sqref="G32"/>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3" t="s">
        <v>61</v>
      </c>
      <c r="B2" s="23"/>
      <c r="C2" s="23"/>
      <c r="D2" s="23"/>
      <c r="E2" s="23"/>
      <c r="F2" s="23"/>
      <c r="G2" s="23"/>
    </row>
    <row r="3" spans="1:9" x14ac:dyDescent="0.25">
      <c r="A3" s="1"/>
      <c r="G3" s="17" t="s">
        <v>62</v>
      </c>
    </row>
    <row r="4" spans="1:9" ht="21" x14ac:dyDescent="0.25">
      <c r="A4" s="24" t="s">
        <v>9</v>
      </c>
      <c r="B4" s="24"/>
      <c r="C4" s="24"/>
      <c r="D4" s="24"/>
      <c r="E4" s="24"/>
      <c r="F4" s="24"/>
      <c r="G4" s="24"/>
    </row>
    <row r="5" spans="1:9" ht="15" customHeight="1" x14ac:dyDescent="0.25">
      <c r="A5" s="5">
        <v>1</v>
      </c>
      <c r="B5" s="7" t="s">
        <v>6</v>
      </c>
      <c r="C5" s="28" t="s">
        <v>17</v>
      </c>
      <c r="D5" s="28"/>
      <c r="E5" s="28"/>
      <c r="F5" s="28"/>
      <c r="G5" s="28"/>
    </row>
    <row r="6" spans="1:9" x14ac:dyDescent="0.25">
      <c r="A6" s="5">
        <v>2</v>
      </c>
      <c r="B6" s="7" t="s">
        <v>8</v>
      </c>
      <c r="C6" s="29" t="s">
        <v>88</v>
      </c>
      <c r="D6" s="30"/>
      <c r="E6" s="30"/>
      <c r="F6" s="30"/>
      <c r="G6" s="30"/>
    </row>
    <row r="7" spans="1:9" x14ac:dyDescent="0.25">
      <c r="A7" s="5">
        <v>3</v>
      </c>
      <c r="B7" s="7" t="s">
        <v>7</v>
      </c>
      <c r="C7" s="29" t="s">
        <v>13</v>
      </c>
      <c r="D7" s="30"/>
      <c r="E7" s="30"/>
      <c r="F7" s="30"/>
      <c r="G7" s="30"/>
    </row>
    <row r="8" spans="1:9" x14ac:dyDescent="0.25">
      <c r="B8" s="8"/>
      <c r="C8" s="9"/>
      <c r="D8" s="9"/>
      <c r="G8" s="9"/>
    </row>
    <row r="9" spans="1:9" ht="21" x14ac:dyDescent="0.25">
      <c r="A9" s="25" t="s">
        <v>10</v>
      </c>
      <c r="B9" s="26"/>
      <c r="C9" s="25"/>
      <c r="D9" s="27"/>
      <c r="E9" s="27"/>
      <c r="F9" s="27"/>
      <c r="G9" s="27"/>
      <c r="H9" s="27"/>
      <c r="I9" s="26"/>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2" t="s">
        <v>83</v>
      </c>
      <c r="C11" s="3" t="s">
        <v>84</v>
      </c>
      <c r="D11" s="3" t="s">
        <v>73</v>
      </c>
      <c r="E11" s="3" t="s">
        <v>85</v>
      </c>
      <c r="F11" s="5"/>
      <c r="G11" s="19" t="s">
        <v>66</v>
      </c>
      <c r="H11" s="21" t="s">
        <v>67</v>
      </c>
      <c r="I11" s="3"/>
    </row>
    <row r="12" spans="1:9" x14ac:dyDescent="0.25">
      <c r="A12" s="16">
        <f>IF(ISBLANK(B12), "", ROW()-10)</f>
        <v>2</v>
      </c>
      <c r="B12" s="22" t="s">
        <v>20</v>
      </c>
      <c r="C12" s="3" t="s">
        <v>82</v>
      </c>
      <c r="D12" s="3" t="s">
        <v>73</v>
      </c>
      <c r="E12" s="3" t="s">
        <v>102</v>
      </c>
      <c r="F12" s="5">
        <v>1</v>
      </c>
      <c r="G12" s="19" t="s">
        <v>46</v>
      </c>
      <c r="H12" s="21" t="s">
        <v>58</v>
      </c>
      <c r="I12" s="3"/>
    </row>
    <row r="13" spans="1:9" x14ac:dyDescent="0.25">
      <c r="A13" s="16">
        <f>IF(ISBLANK(B13), "", ROW()-10)</f>
        <v>3</v>
      </c>
      <c r="B13" s="22" t="s">
        <v>18</v>
      </c>
      <c r="C13" s="3" t="s">
        <v>19</v>
      </c>
      <c r="D13" s="3" t="s">
        <v>73</v>
      </c>
      <c r="E13" s="3" t="s">
        <v>87</v>
      </c>
      <c r="F13" s="5">
        <v>1</v>
      </c>
      <c r="G13" s="19" t="s">
        <v>45</v>
      </c>
      <c r="H13" s="21" t="s">
        <v>57</v>
      </c>
      <c r="I13" s="3"/>
    </row>
    <row r="14" spans="1:9" x14ac:dyDescent="0.25">
      <c r="A14" s="16">
        <f t="shared" ref="A14:A71" si="0">IF(ISBLANK(B14), "", ROW()-10)</f>
        <v>4</v>
      </c>
      <c r="B14" s="22" t="s">
        <v>22</v>
      </c>
      <c r="C14" s="3" t="s">
        <v>21</v>
      </c>
      <c r="D14" s="3" t="s">
        <v>73</v>
      </c>
      <c r="E14" s="3" t="s">
        <v>86</v>
      </c>
      <c r="F14" s="5">
        <v>3</v>
      </c>
      <c r="G14" s="19" t="s">
        <v>47</v>
      </c>
      <c r="H14" s="2"/>
      <c r="I14" s="3"/>
    </row>
    <row r="15" spans="1:9" x14ac:dyDescent="0.25">
      <c r="A15" s="16">
        <f t="shared" si="0"/>
        <v>5</v>
      </c>
      <c r="B15" s="22" t="s">
        <v>23</v>
      </c>
      <c r="C15" s="3" t="s">
        <v>21</v>
      </c>
      <c r="D15" s="3" t="s">
        <v>73</v>
      </c>
      <c r="E15" s="3" t="s">
        <v>75</v>
      </c>
      <c r="F15" s="5">
        <v>3</v>
      </c>
      <c r="G15" s="19" t="s">
        <v>52</v>
      </c>
      <c r="H15" s="21" t="s">
        <v>59</v>
      </c>
      <c r="I15" s="3"/>
    </row>
    <row r="16" spans="1:9" x14ac:dyDescent="0.25">
      <c r="A16" s="16">
        <f t="shared" si="0"/>
        <v>6</v>
      </c>
      <c r="B16" s="22" t="s">
        <v>24</v>
      </c>
      <c r="C16" s="3" t="s">
        <v>21</v>
      </c>
      <c r="D16" s="3" t="s">
        <v>73</v>
      </c>
      <c r="E16" s="3" t="s">
        <v>74</v>
      </c>
      <c r="F16" s="5">
        <v>3</v>
      </c>
      <c r="G16" s="20" t="s">
        <v>44</v>
      </c>
      <c r="H16" s="21" t="s">
        <v>60</v>
      </c>
      <c r="I16" s="3"/>
    </row>
    <row r="17" spans="1:9" x14ac:dyDescent="0.25">
      <c r="A17" s="16">
        <f>IF(ISBLANK(B17), "", ROW()-10)</f>
        <v>7</v>
      </c>
      <c r="B17" s="22" t="s">
        <v>41</v>
      </c>
      <c r="C17" s="3" t="s">
        <v>28</v>
      </c>
      <c r="D17" s="3" t="s">
        <v>73</v>
      </c>
      <c r="E17" s="3" t="s">
        <v>63</v>
      </c>
      <c r="F17" s="5">
        <v>6</v>
      </c>
      <c r="G17" s="19" t="s">
        <v>54</v>
      </c>
      <c r="H17" s="2"/>
      <c r="I17" s="3"/>
    </row>
    <row r="18" spans="1:9" x14ac:dyDescent="0.25">
      <c r="A18" s="16">
        <f>IF(ISBLANK(B18), "", ROW()-10)</f>
        <v>8</v>
      </c>
      <c r="B18" s="22" t="s">
        <v>31</v>
      </c>
      <c r="C18" s="3" t="s">
        <v>28</v>
      </c>
      <c r="D18" s="3" t="s">
        <v>73</v>
      </c>
      <c r="E18" s="3" t="s">
        <v>36</v>
      </c>
      <c r="F18" s="5">
        <v>5</v>
      </c>
      <c r="G18" s="19" t="s">
        <v>50</v>
      </c>
      <c r="H18" s="2"/>
      <c r="I18" s="3"/>
    </row>
    <row r="19" spans="1:9" x14ac:dyDescent="0.25">
      <c r="A19" s="16">
        <f>IF(ISBLANK(B19), "", ROW()-10)</f>
        <v>9</v>
      </c>
      <c r="B19" s="22" t="s">
        <v>30</v>
      </c>
      <c r="C19" s="2" t="s">
        <v>78</v>
      </c>
      <c r="D19" s="3" t="s">
        <v>73</v>
      </c>
      <c r="E19" s="3" t="s">
        <v>77</v>
      </c>
      <c r="F19" s="5">
        <v>6</v>
      </c>
      <c r="G19" s="19" t="s">
        <v>49</v>
      </c>
      <c r="H19" s="2"/>
      <c r="I19" s="3"/>
    </row>
    <row r="20" spans="1:9" x14ac:dyDescent="0.25">
      <c r="A20" s="16">
        <f>IF(ISBLANK(B20), "", ROW()-10)</f>
        <v>10</v>
      </c>
      <c r="B20" s="22" t="s">
        <v>25</v>
      </c>
      <c r="C20" s="3" t="s">
        <v>26</v>
      </c>
      <c r="D20" s="3" t="s">
        <v>73</v>
      </c>
      <c r="E20" s="3" t="s">
        <v>76</v>
      </c>
      <c r="F20" s="5">
        <v>3</v>
      </c>
      <c r="G20" s="19" t="s">
        <v>43</v>
      </c>
      <c r="H20" s="2"/>
      <c r="I20" s="3"/>
    </row>
    <row r="21" spans="1:9" x14ac:dyDescent="0.25">
      <c r="A21" s="16">
        <f t="shared" si="0"/>
        <v>11</v>
      </c>
      <c r="B21" s="22" t="s">
        <v>27</v>
      </c>
      <c r="C21" s="3" t="s">
        <v>89</v>
      </c>
      <c r="D21" s="3" t="s">
        <v>73</v>
      </c>
      <c r="E21" s="3" t="s">
        <v>34</v>
      </c>
      <c r="F21" s="5">
        <v>4</v>
      </c>
      <c r="G21" s="19" t="s">
        <v>48</v>
      </c>
      <c r="H21" s="2"/>
      <c r="I21" s="3"/>
    </row>
    <row r="22" spans="1:9" x14ac:dyDescent="0.25">
      <c r="A22" s="16">
        <f>IF(ISBLANK(B22), "", ROW()-10)</f>
        <v>12</v>
      </c>
      <c r="B22" s="22" t="s">
        <v>25</v>
      </c>
      <c r="C22" s="2" t="s">
        <v>29</v>
      </c>
      <c r="D22" s="3" t="s">
        <v>73</v>
      </c>
      <c r="E22" s="3" t="s">
        <v>34</v>
      </c>
      <c r="F22" s="5">
        <v>4</v>
      </c>
      <c r="G22" s="19" t="s">
        <v>43</v>
      </c>
      <c r="H22" s="2"/>
      <c r="I22" s="3"/>
    </row>
    <row r="23" spans="1:9" x14ac:dyDescent="0.25">
      <c r="A23" s="16">
        <f>IF(ISBLANK(B23), "", ROW()-10)</f>
        <v>13</v>
      </c>
      <c r="B23" s="22" t="s">
        <v>33</v>
      </c>
      <c r="C23" s="2" t="s">
        <v>35</v>
      </c>
      <c r="D23" s="3" t="s">
        <v>73</v>
      </c>
      <c r="E23" s="3" t="s">
        <v>34</v>
      </c>
      <c r="F23" s="5">
        <v>4</v>
      </c>
      <c r="G23" s="19" t="s">
        <v>51</v>
      </c>
      <c r="H23" s="21" t="s">
        <v>55</v>
      </c>
      <c r="I23" s="3"/>
    </row>
    <row r="24" spans="1:9" x14ac:dyDescent="0.25">
      <c r="A24" s="16">
        <f t="shared" si="0"/>
        <v>14</v>
      </c>
      <c r="B24" s="22" t="s">
        <v>31</v>
      </c>
      <c r="C24" s="3" t="s">
        <v>32</v>
      </c>
      <c r="D24" s="3" t="s">
        <v>73</v>
      </c>
      <c r="E24" s="3" t="s">
        <v>77</v>
      </c>
      <c r="F24" s="5">
        <v>9</v>
      </c>
      <c r="G24" s="19" t="s">
        <v>50</v>
      </c>
      <c r="H24" s="2"/>
      <c r="I24" s="3"/>
    </row>
    <row r="25" spans="1:9" x14ac:dyDescent="0.25">
      <c r="A25" s="16">
        <f t="shared" si="0"/>
        <v>15</v>
      </c>
      <c r="B25" s="22" t="s">
        <v>27</v>
      </c>
      <c r="C25" s="3" t="s">
        <v>37</v>
      </c>
      <c r="D25" s="3" t="s">
        <v>73</v>
      </c>
      <c r="E25" s="3" t="s">
        <v>36</v>
      </c>
      <c r="F25" s="5">
        <v>8</v>
      </c>
      <c r="G25" s="19" t="s">
        <v>48</v>
      </c>
      <c r="H25" s="2"/>
      <c r="I25" s="3"/>
    </row>
    <row r="26" spans="1:9" x14ac:dyDescent="0.25">
      <c r="A26" s="16">
        <f t="shared" si="0"/>
        <v>16</v>
      </c>
      <c r="B26" s="22" t="s">
        <v>25</v>
      </c>
      <c r="C26" s="2" t="s">
        <v>38</v>
      </c>
      <c r="D26" s="3" t="s">
        <v>73</v>
      </c>
      <c r="E26" s="3" t="s">
        <v>36</v>
      </c>
      <c r="F26" s="5">
        <v>8</v>
      </c>
      <c r="G26" s="19" t="s">
        <v>43</v>
      </c>
      <c r="H26" s="2"/>
      <c r="I26" s="3"/>
    </row>
    <row r="27" spans="1:9" x14ac:dyDescent="0.25">
      <c r="A27" s="16">
        <f t="shared" si="0"/>
        <v>17</v>
      </c>
      <c r="B27" s="22" t="s">
        <v>22</v>
      </c>
      <c r="C27" s="3" t="s">
        <v>39</v>
      </c>
      <c r="D27" s="3" t="s">
        <v>73</v>
      </c>
      <c r="E27" s="3" t="s">
        <v>36</v>
      </c>
      <c r="F27" s="5">
        <v>8</v>
      </c>
      <c r="G27" s="19" t="s">
        <v>47</v>
      </c>
      <c r="H27" s="2"/>
      <c r="I27" s="3"/>
    </row>
    <row r="28" spans="1:9" x14ac:dyDescent="0.25">
      <c r="A28" s="16">
        <f t="shared" si="0"/>
        <v>18</v>
      </c>
      <c r="B28" s="22" t="s">
        <v>40</v>
      </c>
      <c r="C28" s="3" t="s">
        <v>42</v>
      </c>
      <c r="D28" s="3" t="s">
        <v>73</v>
      </c>
      <c r="E28" s="3" t="s">
        <v>63</v>
      </c>
      <c r="F28" s="5">
        <v>7</v>
      </c>
      <c r="G28" s="19" t="s">
        <v>53</v>
      </c>
      <c r="H28" s="21"/>
      <c r="I28" s="3"/>
    </row>
    <row r="29" spans="1:9" x14ac:dyDescent="0.25">
      <c r="A29" s="16">
        <f t="shared" ref="A29" si="1">IF(ISBLANK(B29), "", ROW()-10)</f>
        <v>19</v>
      </c>
      <c r="B29" s="22" t="s">
        <v>33</v>
      </c>
      <c r="C29" s="3" t="s">
        <v>91</v>
      </c>
      <c r="D29" s="3" t="s">
        <v>73</v>
      </c>
      <c r="E29" s="3" t="s">
        <v>63</v>
      </c>
      <c r="F29" s="5">
        <v>7</v>
      </c>
      <c r="G29" s="19" t="s">
        <v>51</v>
      </c>
      <c r="H29" s="21" t="s">
        <v>56</v>
      </c>
      <c r="I29" s="3"/>
    </row>
    <row r="30" spans="1:9" x14ac:dyDescent="0.25">
      <c r="A30" s="16">
        <f t="shared" si="0"/>
        <v>20</v>
      </c>
      <c r="B30" s="22" t="s">
        <v>65</v>
      </c>
      <c r="C30" s="3" t="s">
        <v>79</v>
      </c>
      <c r="D30" s="3" t="s">
        <v>73</v>
      </c>
      <c r="E30" s="3" t="s">
        <v>63</v>
      </c>
      <c r="F30" s="5">
        <v>18</v>
      </c>
      <c r="G30" s="19" t="s">
        <v>71</v>
      </c>
      <c r="H30" s="2"/>
      <c r="I30" s="2"/>
    </row>
    <row r="31" spans="1:9" x14ac:dyDescent="0.25">
      <c r="A31" s="16">
        <f t="shared" si="0"/>
        <v>21</v>
      </c>
      <c r="B31" s="22" t="s">
        <v>68</v>
      </c>
      <c r="C31" s="3" t="s">
        <v>81</v>
      </c>
      <c r="D31" s="3" t="s">
        <v>73</v>
      </c>
      <c r="E31" s="3" t="s">
        <v>80</v>
      </c>
      <c r="F31" s="5">
        <v>10</v>
      </c>
      <c r="G31" s="19" t="s">
        <v>94</v>
      </c>
      <c r="H31" s="2"/>
      <c r="I31" s="2"/>
    </row>
    <row r="32" spans="1:9" x14ac:dyDescent="0.25">
      <c r="A32" s="16">
        <f t="shared" si="0"/>
        <v>22</v>
      </c>
      <c r="B32" s="22" t="s">
        <v>70</v>
      </c>
      <c r="C32" s="3" t="s">
        <v>81</v>
      </c>
      <c r="D32" s="3" t="s">
        <v>73</v>
      </c>
      <c r="E32" s="3" t="s">
        <v>80</v>
      </c>
      <c r="F32" s="5">
        <v>10</v>
      </c>
      <c r="G32" s="19" t="s">
        <v>105</v>
      </c>
      <c r="H32" s="2"/>
      <c r="I32" s="2"/>
    </row>
    <row r="33" spans="1:9" x14ac:dyDescent="0.25">
      <c r="A33" s="16">
        <f t="shared" si="0"/>
        <v>23</v>
      </c>
      <c r="B33" s="22" t="s">
        <v>69</v>
      </c>
      <c r="C33" s="3" t="s">
        <v>64</v>
      </c>
      <c r="D33" s="3" t="s">
        <v>73</v>
      </c>
      <c r="E33" s="3" t="s">
        <v>80</v>
      </c>
      <c r="F33" s="5">
        <v>10</v>
      </c>
      <c r="G33" s="19" t="s">
        <v>72</v>
      </c>
      <c r="H33" s="2"/>
      <c r="I33" s="2"/>
    </row>
    <row r="34" spans="1:9" x14ac:dyDescent="0.25">
      <c r="A34" s="16">
        <f t="shared" si="0"/>
        <v>24</v>
      </c>
      <c r="B34" s="22" t="s">
        <v>90</v>
      </c>
      <c r="C34" s="3" t="s">
        <v>81</v>
      </c>
      <c r="D34" s="3" t="s">
        <v>73</v>
      </c>
      <c r="E34" s="3" t="s">
        <v>80</v>
      </c>
      <c r="F34" s="5">
        <v>10</v>
      </c>
      <c r="G34" s="19"/>
      <c r="H34" s="2"/>
      <c r="I34" s="2"/>
    </row>
    <row r="35" spans="1:9" x14ac:dyDescent="0.25">
      <c r="A35" s="16">
        <f t="shared" si="0"/>
        <v>25</v>
      </c>
      <c r="B35" s="22" t="s">
        <v>92</v>
      </c>
      <c r="C35" s="3" t="s">
        <v>93</v>
      </c>
      <c r="D35" s="3" t="s">
        <v>73</v>
      </c>
      <c r="E35" s="3" t="s">
        <v>34</v>
      </c>
      <c r="F35" s="5">
        <v>4</v>
      </c>
      <c r="G35" s="19"/>
      <c r="H35" s="2"/>
      <c r="I35" s="2"/>
    </row>
    <row r="36" spans="1:9" x14ac:dyDescent="0.25">
      <c r="A36" s="16">
        <f t="shared" si="0"/>
        <v>26</v>
      </c>
      <c r="B36" s="3" t="s">
        <v>95</v>
      </c>
      <c r="C36" s="3" t="s">
        <v>96</v>
      </c>
      <c r="D36" s="3" t="s">
        <v>73</v>
      </c>
      <c r="E36" s="3" t="s">
        <v>63</v>
      </c>
      <c r="F36" s="5">
        <v>19</v>
      </c>
      <c r="G36" s="19" t="s">
        <v>97</v>
      </c>
      <c r="H36" s="2"/>
      <c r="I36" s="2"/>
    </row>
    <row r="37" spans="1:9" x14ac:dyDescent="0.25">
      <c r="A37" s="16">
        <f t="shared" si="0"/>
        <v>27</v>
      </c>
      <c r="B37" s="22" t="s">
        <v>92</v>
      </c>
      <c r="C37" s="3" t="s">
        <v>98</v>
      </c>
      <c r="D37" s="3" t="s">
        <v>73</v>
      </c>
      <c r="E37" s="3" t="s">
        <v>77</v>
      </c>
      <c r="F37" s="5">
        <v>14</v>
      </c>
      <c r="G37" s="19"/>
      <c r="H37" s="2"/>
      <c r="I37" s="2"/>
    </row>
    <row r="38" spans="1:9" x14ac:dyDescent="0.25">
      <c r="A38" s="16">
        <f t="shared" si="0"/>
        <v>28</v>
      </c>
      <c r="B38" s="22" t="s">
        <v>100</v>
      </c>
      <c r="C38" s="3" t="s">
        <v>81</v>
      </c>
      <c r="D38" s="3" t="s">
        <v>73</v>
      </c>
      <c r="E38" s="3" t="s">
        <v>80</v>
      </c>
      <c r="F38" s="5">
        <v>10</v>
      </c>
      <c r="G38" s="19" t="s">
        <v>104</v>
      </c>
      <c r="H38" s="2"/>
      <c r="I38" s="2"/>
    </row>
    <row r="39" spans="1:9" x14ac:dyDescent="0.25">
      <c r="A39" s="16">
        <f t="shared" si="0"/>
        <v>29</v>
      </c>
      <c r="B39" s="22" t="s">
        <v>92</v>
      </c>
      <c r="C39" s="3" t="s">
        <v>99</v>
      </c>
      <c r="D39" s="3" t="s">
        <v>73</v>
      </c>
      <c r="E39" s="3" t="s">
        <v>36</v>
      </c>
      <c r="F39" s="5">
        <v>8</v>
      </c>
      <c r="G39" s="4"/>
      <c r="H39" s="2"/>
      <c r="I39" s="2"/>
    </row>
    <row r="40" spans="1:9" x14ac:dyDescent="0.25">
      <c r="A40" s="16">
        <f>IF(ISBLANK(B40), "", ROW()-10)</f>
        <v>30</v>
      </c>
      <c r="B40" s="22" t="s">
        <v>101</v>
      </c>
      <c r="C40" s="3" t="s">
        <v>82</v>
      </c>
      <c r="D40" s="3" t="s">
        <v>73</v>
      </c>
      <c r="E40" s="3" t="s">
        <v>102</v>
      </c>
      <c r="F40" s="5">
        <v>1</v>
      </c>
      <c r="G40" s="19" t="s">
        <v>103</v>
      </c>
      <c r="H40" s="21"/>
      <c r="I40" s="3"/>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11:F33 F41:F200">
    <cfRule type="expression" dxfId="10" priority="23">
      <formula>AND($A11&lt;&gt;"", $F11="")</formula>
    </cfRule>
  </conditionalFormatting>
  <conditionalFormatting sqref="A29">
    <cfRule type="uniqueValues" dxfId="9" priority="29"/>
  </conditionalFormatting>
  <conditionalFormatting sqref="A30:A39 A11:A28 A41:A200">
    <cfRule type="uniqueValues" dxfId="8" priority="36"/>
  </conditionalFormatting>
  <conditionalFormatting sqref="F34">
    <cfRule type="expression" dxfId="7" priority="9">
      <formula>AND($A34&lt;&gt;"", $F34="")</formula>
    </cfRule>
  </conditionalFormatting>
  <conditionalFormatting sqref="F35">
    <cfRule type="expression" dxfId="6" priority="7">
      <formula>AND($A35&lt;&gt;"", $F35="")</formula>
    </cfRule>
  </conditionalFormatting>
  <conditionalFormatting sqref="F36">
    <cfRule type="expression" dxfId="5" priority="6">
      <formula>AND($A36&lt;&gt;"", $F36="")</formula>
    </cfRule>
  </conditionalFormatting>
  <conditionalFormatting sqref="F37">
    <cfRule type="expression" dxfId="4" priority="5">
      <formula>AND($A37&lt;&gt;"", $F37="")</formula>
    </cfRule>
  </conditionalFormatting>
  <conditionalFormatting sqref="F38">
    <cfRule type="expression" dxfId="3" priority="4">
      <formula>AND($A38&lt;&gt;"", $F38="")</formula>
    </cfRule>
  </conditionalFormatting>
  <conditionalFormatting sqref="F39">
    <cfRule type="expression" dxfId="2" priority="3">
      <formula>AND($A39&lt;&gt;"", $F39="")</formula>
    </cfRule>
  </conditionalFormatting>
  <conditionalFormatting sqref="F40">
    <cfRule type="expression" dxfId="1" priority="1">
      <formula>AND($A40&lt;&gt;"", $F40="")</formula>
    </cfRule>
  </conditionalFormatting>
  <conditionalFormatting sqref="A40">
    <cfRule type="uniqueValues" dxfId="0" priority="2"/>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0" r:id="rId3" xr:uid="{989D0078-F841-4C73-B3DA-D7C08F9174DF}"/>
    <hyperlink ref="G16" r:id="rId4" xr:uid="{0972EEC9-FB69-4E04-97B7-C15012AEA975}"/>
    <hyperlink ref="G12" r:id="rId5" xr:uid="{04F55293-5271-4D18-9FCF-4CA2AD8AE7EF}"/>
    <hyperlink ref="G14" r:id="rId6" xr:uid="{DEA70943-7612-45D5-B1F9-CCC71ECEA692}"/>
    <hyperlink ref="G27" r:id="rId7" xr:uid="{369FDDCB-8B44-48D1-BD52-E8043C182FCC}"/>
    <hyperlink ref="G21" r:id="rId8" xr:uid="{63B037B3-ABD6-4E6C-BC36-F0B57778C641}"/>
    <hyperlink ref="G25" r:id="rId9" xr:uid="{1C1B0FFE-45A7-4C6E-B6A5-A11AC0750227}"/>
    <hyperlink ref="G19" r:id="rId10" xr:uid="{D1D90F34-7A6B-49A2-944E-6DD2080E6A43}"/>
    <hyperlink ref="G24" r:id="rId11" xr:uid="{42B511D9-02C0-4FF6-9707-31C4C60B4952}"/>
    <hyperlink ref="G18" r:id="rId12" xr:uid="{3FC1745B-5204-43C9-958F-EE7EDD70D78D}"/>
    <hyperlink ref="G23" r:id="rId13" xr:uid="{1E3CE289-2BFB-4C74-AF91-A01E4EF2FC5A}"/>
    <hyperlink ref="G17" r:id="rId14" xr:uid="{1D380261-F9CF-48E1-988C-2831CE3318E5}"/>
    <hyperlink ref="G28" r:id="rId15" xr:uid="{A64A19DF-C2A3-4812-98EF-3F07C24A1FD2}"/>
    <hyperlink ref="G15" r:id="rId16" xr:uid="{74C75903-9B0B-46A5-A409-0F0835A25FC4}"/>
    <hyperlink ref="H23"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29" r:id="rId22" xr:uid="{F2BF563B-91E2-48A6-83F4-4CB867215FD4}"/>
    <hyperlink ref="H29" r:id="rId23" xr:uid="{A3C5409E-81DE-4A4C-BF39-2367129875D6}"/>
    <hyperlink ref="G11" r:id="rId24" xr:uid="{459652A7-DAB3-4BD1-ABEF-487BD3747378}"/>
    <hyperlink ref="H11" r:id="rId25" xr:uid="{D022AA4D-B06C-4F5B-AFBB-440F16D12020}"/>
    <hyperlink ref="G30" r:id="rId26" xr:uid="{5416B9D8-8020-43E6-8559-9BB839E27C9F}"/>
    <hyperlink ref="G31" r:id="rId27" xr:uid="{C8410178-59C5-498E-BD1B-CABFD75D1500}"/>
    <hyperlink ref="G33" r:id="rId28" xr:uid="{8BC180BF-E9B2-4BAA-8368-1DEB0D8A2E92}"/>
    <hyperlink ref="C6" r:id="rId29" xr:uid="{E83F3F7E-AF48-4548-93EA-ACD574146742}"/>
    <hyperlink ref="G36" r:id="rId30" xr:uid="{5207C1D7-1A32-4473-A973-DCD85795B5D2}"/>
    <hyperlink ref="G40" r:id="rId31" xr:uid="{DA090F87-B8FD-4145-8D21-3EE99CE81045}"/>
    <hyperlink ref="G38" r:id="rId32" xr:uid="{E085E0F7-448D-4FC8-80A2-E1D0EE266F83}"/>
    <hyperlink ref="G32" r:id="rId33" display="https://dnqt.vn/assets/team/Phu.jpeg" xr:uid="{81F85F3A-24AF-4459-90E0-26E2222B2DF4}"/>
  </hyperlinks>
  <pageMargins left="0.7" right="0.7" top="0.75" bottom="0.75" header="0.3" footer="0.3"/>
  <pageSetup orientation="portrait" r:id="rId34"/>
  <legacyDrawing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2025-10-17T01:47:45Z</dcterms:modified>
</cp:coreProperties>
</file>